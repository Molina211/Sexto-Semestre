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arce\Documents\UNIVERSIDAD CORHUILA\2025\ANALISIS FINANCIERO\TERCER CORTE\SEMANA 13\"/>
    </mc:Choice>
  </mc:AlternateContent>
  <xr:revisionPtr revIDLastSave="0" documentId="13_ncr:1_{209F6BC5-656C-4331-B37A-E92679CEC7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 EJERCICIO " sheetId="2" r:id="rId1"/>
    <sheet name="Hoja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3" l="1"/>
  <c r="F12" i="3"/>
  <c r="F10" i="3"/>
  <c r="F9" i="3"/>
  <c r="F8" i="3"/>
  <c r="F7" i="3"/>
  <c r="F6" i="3"/>
  <c r="F11" i="3" l="1"/>
  <c r="F17" i="3" l="1"/>
  <c r="F15" i="3"/>
  <c r="F20" i="3" s="1"/>
  <c r="F18" i="3"/>
  <c r="F21" i="3" l="1"/>
</calcChain>
</file>

<file path=xl/sharedStrings.xml><?xml version="1.0" encoding="utf-8"?>
<sst xmlns="http://schemas.openxmlformats.org/spreadsheetml/2006/main" count="37" uniqueCount="37">
  <si>
    <t>Datos de la empresa:</t>
  </si>
  <si>
    <t>Nombre de la empresa: ABC S.A.</t>
  </si>
  <si>
    <t>Cuenta</t>
  </si>
  <si>
    <t>Saldo</t>
  </si>
  <si>
    <t>Ventas de mercancías</t>
  </si>
  <si>
    <t>Ingresos por servicios</t>
  </si>
  <si>
    <t>Descuentos sobre ventas</t>
  </si>
  <si>
    <t>Costos de prestación de servicios</t>
  </si>
  <si>
    <t>Gastos de administración</t>
  </si>
  <si>
    <t>Gastos por intereses</t>
  </si>
  <si>
    <t>Informacion de las cuentas</t>
  </si>
  <si>
    <t>Información adicional:</t>
  </si>
  <si>
    <t>Los otros ingresos corresponden a ganancias por venta de activos, provenientes de la venta de un camion de transporte que era propiedad de la empresa.</t>
  </si>
  <si>
    <t xml:space="preserve">ESTADO DE RESULTADOS </t>
  </si>
  <si>
    <t xml:space="preserve">Ventas </t>
  </si>
  <si>
    <t>Costos de ventas</t>
  </si>
  <si>
    <t>UTILIDAD BRUTA</t>
  </si>
  <si>
    <t>UTILIDAD DE OPERACIÓN</t>
  </si>
  <si>
    <t>Reserva legal</t>
  </si>
  <si>
    <t>UTILIDAD ANTES DE IMPUESTOS</t>
  </si>
  <si>
    <t>Impuestos sobre la renta</t>
  </si>
  <si>
    <t>UTILIDAD NETA</t>
  </si>
  <si>
    <t>La empresa ABC, S.A es una empresa dedicada a la compra y venta de mueblería de oficina, también la empresa ofrece servicios de instalación y transporte de esta mueblería, la empresa se encuentra en la fecha de cierre de su ejercicio económico actual que es el 31 de diciembre de 2024</t>
  </si>
  <si>
    <t>Fecha de cierre del período: 31 de diciembre de 2024</t>
  </si>
  <si>
    <t>Coto de venta mercancia</t>
  </si>
  <si>
    <t>Gastos de venta</t>
  </si>
  <si>
    <t>Inmpuesto sobre la renta 20%</t>
  </si>
  <si>
    <t xml:space="preserve"> </t>
  </si>
  <si>
    <t xml:space="preserve">Otros ingresos </t>
  </si>
  <si>
    <t>descuento ventas</t>
  </si>
  <si>
    <t>Costos de servicio</t>
  </si>
  <si>
    <t xml:space="preserve">Gastos administracion </t>
  </si>
  <si>
    <t>Gastos venta</t>
  </si>
  <si>
    <t>El Impuesto sobre la renta gravado sobre los resultados es del 10%.</t>
  </si>
  <si>
    <t>maria mercedes</t>
  </si>
  <si>
    <t>maria margarita</t>
  </si>
  <si>
    <t>EMPRESA ABC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</si>
</sst>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\ 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21251F"/>
      <name val="Times New Roman"/>
      <family val="1"/>
    </font>
    <font>
      <sz val="12"/>
      <color theme="1"/>
      <name val="Calibri"/>
      <family val="2"/>
      <scheme val="minor"/>
    </font>
    <font>
      <sz val="12"/>
      <color rgb="FF21251F"/>
      <name val="Times New Roman"/>
      <family val="1"/>
    </font>
    <font>
      <b/>
      <sz val="12"/>
      <color rgb="FF21251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6F2EC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168" fontId="4" fillId="2" borderId="1" xfId="0" applyNumberFormat="1" applyFont="1" applyFill="1" applyBorder="1" applyAlignment="1">
      <alignment horizontal="right" vertical="center" wrapText="1"/>
    </xf>
    <xf numFmtId="168" fontId="0" fillId="0" borderId="0" xfId="0" applyNumberFormat="1"/>
    <xf numFmtId="0" fontId="0" fillId="0" borderId="2" xfId="0" applyBorder="1"/>
    <xf numFmtId="9" fontId="0" fillId="0" borderId="0" xfId="0" applyNumberFormat="1"/>
    <xf numFmtId="0" fontId="1" fillId="0" borderId="2" xfId="0" applyFont="1" applyBorder="1"/>
    <xf numFmtId="0" fontId="0" fillId="0" borderId="0" xfId="0" applyBorder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5" fontId="1" fillId="0" borderId="6" xfId="0" applyNumberFormat="1" applyFont="1" applyBorder="1" applyAlignment="1">
      <alignment horizontal="center"/>
    </xf>
    <xf numFmtId="15" fontId="1" fillId="0" borderId="0" xfId="0" applyNumberFormat="1" applyFont="1" applyBorder="1" applyAlignment="1">
      <alignment horizontal="center"/>
    </xf>
    <xf numFmtId="15" fontId="1" fillId="0" borderId="7" xfId="0" applyNumberFormat="1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168" fontId="0" fillId="0" borderId="7" xfId="0" applyNumberFormat="1" applyBorder="1"/>
    <xf numFmtId="168" fontId="0" fillId="0" borderId="8" xfId="0" applyNumberFormat="1" applyBorder="1"/>
    <xf numFmtId="0" fontId="1" fillId="0" borderId="6" xfId="0" applyFont="1" applyBorder="1"/>
    <xf numFmtId="0" fontId="1" fillId="0" borderId="0" xfId="0" applyFont="1" applyBorder="1"/>
    <xf numFmtId="168" fontId="1" fillId="0" borderId="7" xfId="0" applyNumberFormat="1" applyFont="1" applyBorder="1"/>
    <xf numFmtId="168" fontId="1" fillId="0" borderId="8" xfId="0" applyNumberFormat="1" applyFont="1" applyBorder="1"/>
    <xf numFmtId="0" fontId="0" fillId="0" borderId="9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E98BF-5418-458C-85D0-3FCC0FFC12B0}">
  <dimension ref="A1:E25"/>
  <sheetViews>
    <sheetView tabSelected="1" workbookViewId="0">
      <selection activeCell="D8" sqref="D8"/>
    </sheetView>
  </sheetViews>
  <sheetFormatPr baseColWidth="10" defaultRowHeight="15.75" x14ac:dyDescent="0.25"/>
  <cols>
    <col min="1" max="1" width="38.7109375" style="2" customWidth="1"/>
    <col min="2" max="2" width="18.5703125" style="2" customWidth="1"/>
    <col min="3" max="16384" width="11.42578125" style="2"/>
  </cols>
  <sheetData>
    <row r="1" spans="1:5" x14ac:dyDescent="0.25">
      <c r="A1" s="1" t="s">
        <v>0</v>
      </c>
    </row>
    <row r="3" spans="1:5" ht="58.5" customHeight="1" x14ac:dyDescent="0.25">
      <c r="A3" s="3" t="s">
        <v>22</v>
      </c>
      <c r="B3" s="3"/>
      <c r="C3" s="3"/>
      <c r="D3" s="3"/>
      <c r="E3" s="3"/>
    </row>
    <row r="4" spans="1:5" x14ac:dyDescent="0.25">
      <c r="A4" s="4"/>
    </row>
    <row r="5" spans="1:5" x14ac:dyDescent="0.25">
      <c r="A5" s="5" t="s">
        <v>1</v>
      </c>
    </row>
    <row r="6" spans="1:5" ht="31.5" x14ac:dyDescent="0.25">
      <c r="A6" s="5" t="s">
        <v>23</v>
      </c>
    </row>
    <row r="8" spans="1:5" x14ac:dyDescent="0.25">
      <c r="A8" s="2" t="s">
        <v>10</v>
      </c>
    </row>
    <row r="9" spans="1:5" ht="16.5" thickBot="1" x14ac:dyDescent="0.3"/>
    <row r="10" spans="1:5" ht="16.5" thickBot="1" x14ac:dyDescent="0.3">
      <c r="A10" s="6" t="s">
        <v>2</v>
      </c>
      <c r="B10" s="6" t="s">
        <v>3</v>
      </c>
    </row>
    <row r="11" spans="1:5" ht="16.5" thickBot="1" x14ac:dyDescent="0.3">
      <c r="A11" s="7" t="s">
        <v>4</v>
      </c>
      <c r="B11" s="8">
        <v>500000</v>
      </c>
    </row>
    <row r="12" spans="1:5" ht="16.5" thickBot="1" x14ac:dyDescent="0.3">
      <c r="A12" s="7" t="s">
        <v>5</v>
      </c>
      <c r="B12" s="8">
        <v>100000</v>
      </c>
    </row>
    <row r="13" spans="1:5" ht="16.5" thickBot="1" x14ac:dyDescent="0.3">
      <c r="A13" s="7" t="s">
        <v>6</v>
      </c>
      <c r="B13" s="8">
        <v>5000</v>
      </c>
    </row>
    <row r="14" spans="1:5" ht="16.5" thickBot="1" x14ac:dyDescent="0.3">
      <c r="A14" s="7" t="s">
        <v>24</v>
      </c>
      <c r="B14" s="8">
        <v>175000</v>
      </c>
    </row>
    <row r="15" spans="1:5" ht="16.5" thickBot="1" x14ac:dyDescent="0.3">
      <c r="A15" s="7" t="s">
        <v>7</v>
      </c>
      <c r="B15" s="8">
        <v>35000</v>
      </c>
    </row>
    <row r="16" spans="1:5" ht="16.5" thickBot="1" x14ac:dyDescent="0.3">
      <c r="A16" s="7" t="s">
        <v>25</v>
      </c>
      <c r="B16" s="8">
        <v>70000</v>
      </c>
    </row>
    <row r="17" spans="1:2" ht="16.5" thickBot="1" x14ac:dyDescent="0.3">
      <c r="A17" s="7" t="s">
        <v>8</v>
      </c>
      <c r="B17" s="8">
        <v>50000</v>
      </c>
    </row>
    <row r="18" spans="1:2" ht="16.5" thickBot="1" x14ac:dyDescent="0.3">
      <c r="A18" s="7" t="s">
        <v>26</v>
      </c>
      <c r="B18" s="8" t="s">
        <v>27</v>
      </c>
    </row>
    <row r="19" spans="1:2" ht="16.5" thickBot="1" x14ac:dyDescent="0.3">
      <c r="A19" s="7" t="s">
        <v>9</v>
      </c>
      <c r="B19" s="8">
        <v>3000</v>
      </c>
    </row>
    <row r="22" spans="1:2" x14ac:dyDescent="0.25">
      <c r="A22" s="1" t="s">
        <v>11</v>
      </c>
    </row>
    <row r="23" spans="1:2" x14ac:dyDescent="0.25">
      <c r="A23" s="4"/>
    </row>
    <row r="24" spans="1:2" ht="31.5" customHeight="1" x14ac:dyDescent="0.25">
      <c r="A24" s="3" t="s">
        <v>33</v>
      </c>
      <c r="B24" s="3"/>
    </row>
    <row r="25" spans="1:2" ht="66" customHeight="1" x14ac:dyDescent="0.25">
      <c r="A25" s="3" t="s">
        <v>12</v>
      </c>
      <c r="B25" s="3"/>
    </row>
  </sheetData>
  <mergeCells count="3">
    <mergeCell ref="A3:E3"/>
    <mergeCell ref="A24:B24"/>
    <mergeCell ref="A25:B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87E3E-E2DC-4C62-8166-6B6070DCC51F}">
  <dimension ref="B1:H26"/>
  <sheetViews>
    <sheetView topLeftCell="A7" workbookViewId="0">
      <selection activeCell="G11" sqref="G11"/>
    </sheetView>
  </sheetViews>
  <sheetFormatPr baseColWidth="10" defaultRowHeight="15" x14ac:dyDescent="0.25"/>
  <sheetData>
    <row r="1" spans="2:8" x14ac:dyDescent="0.25">
      <c r="B1" s="15" t="s">
        <v>36</v>
      </c>
      <c r="C1" s="16"/>
      <c r="D1" s="16"/>
      <c r="E1" s="16"/>
      <c r="F1" s="17"/>
      <c r="G1" s="14"/>
      <c r="H1" s="14"/>
    </row>
    <row r="2" spans="2:8" x14ac:dyDescent="0.25">
      <c r="B2" s="18" t="s">
        <v>13</v>
      </c>
      <c r="C2" s="19"/>
      <c r="D2" s="19"/>
      <c r="E2" s="19"/>
      <c r="F2" s="20"/>
      <c r="G2" s="14"/>
      <c r="H2" s="14"/>
    </row>
    <row r="3" spans="2:8" x14ac:dyDescent="0.25">
      <c r="B3" s="21">
        <v>45657</v>
      </c>
      <c r="C3" s="22"/>
      <c r="D3" s="22"/>
      <c r="E3" s="22"/>
      <c r="F3" s="23"/>
      <c r="G3" s="14"/>
      <c r="H3" s="14"/>
    </row>
    <row r="4" spans="2:8" x14ac:dyDescent="0.25">
      <c r="B4" s="24"/>
      <c r="C4" s="13"/>
      <c r="D4" s="13"/>
      <c r="E4" s="13"/>
      <c r="F4" s="25"/>
    </row>
    <row r="5" spans="2:8" x14ac:dyDescent="0.25">
      <c r="B5" s="24"/>
      <c r="C5" s="13"/>
      <c r="D5" s="13"/>
      <c r="E5" s="13"/>
      <c r="F5" s="25"/>
    </row>
    <row r="6" spans="2:8" x14ac:dyDescent="0.25">
      <c r="B6" s="24" t="s">
        <v>14</v>
      </c>
      <c r="C6" s="13"/>
      <c r="D6" s="13"/>
      <c r="E6" s="13"/>
      <c r="F6" s="26">
        <f>'DATOS EJERCICIO '!B11</f>
        <v>500000</v>
      </c>
    </row>
    <row r="7" spans="2:8" x14ac:dyDescent="0.25">
      <c r="B7" s="24" t="s">
        <v>28</v>
      </c>
      <c r="C7" s="13"/>
      <c r="D7" s="13"/>
      <c r="E7" s="13"/>
      <c r="F7" s="26">
        <f>'DATOS EJERCICIO '!B12</f>
        <v>100000</v>
      </c>
    </row>
    <row r="8" spans="2:8" x14ac:dyDescent="0.25">
      <c r="B8" s="24" t="s">
        <v>29</v>
      </c>
      <c r="C8" s="13"/>
      <c r="D8" s="13"/>
      <c r="E8" s="13"/>
      <c r="F8" s="26">
        <f>'DATOS EJERCICIO '!B13</f>
        <v>5000</v>
      </c>
    </row>
    <row r="9" spans="2:8" x14ac:dyDescent="0.25">
      <c r="B9" s="24" t="s">
        <v>15</v>
      </c>
      <c r="C9" s="13"/>
      <c r="D9" s="13"/>
      <c r="E9" s="13"/>
      <c r="F9" s="26">
        <f>'DATOS EJERCICIO '!B14</f>
        <v>175000</v>
      </c>
    </row>
    <row r="10" spans="2:8" ht="15.75" thickBot="1" x14ac:dyDescent="0.3">
      <c r="B10" s="24" t="s">
        <v>30</v>
      </c>
      <c r="C10" s="13"/>
      <c r="D10" s="13"/>
      <c r="E10" s="10"/>
      <c r="F10" s="27">
        <f>'DATOS EJERCICIO '!B15</f>
        <v>35000</v>
      </c>
    </row>
    <row r="11" spans="2:8" x14ac:dyDescent="0.25">
      <c r="B11" s="28" t="s">
        <v>16</v>
      </c>
      <c r="C11" s="29"/>
      <c r="D11" s="29"/>
      <c r="E11" s="29"/>
      <c r="F11" s="30">
        <f>F6+F7-F8-F9-F10</f>
        <v>385000</v>
      </c>
    </row>
    <row r="12" spans="2:8" x14ac:dyDescent="0.25">
      <c r="B12" s="24" t="s">
        <v>32</v>
      </c>
      <c r="C12" s="29"/>
      <c r="D12" s="29"/>
      <c r="E12" s="29"/>
      <c r="F12" s="30">
        <f>'DATOS EJERCICIO '!B16</f>
        <v>70000</v>
      </c>
      <c r="G12" s="9"/>
    </row>
    <row r="13" spans="2:8" ht="15.75" thickBot="1" x14ac:dyDescent="0.3">
      <c r="B13" s="24" t="s">
        <v>31</v>
      </c>
      <c r="C13" s="13"/>
      <c r="D13" s="13"/>
      <c r="E13" s="10"/>
      <c r="F13" s="31">
        <f>'DATOS EJERCICIO '!B17</f>
        <v>50000</v>
      </c>
    </row>
    <row r="14" spans="2:8" hidden="1" x14ac:dyDescent="0.25">
      <c r="B14" s="24"/>
      <c r="C14" s="13"/>
      <c r="D14" s="13"/>
      <c r="E14" s="13"/>
      <c r="F14" s="26"/>
    </row>
    <row r="15" spans="2:8" x14ac:dyDescent="0.25">
      <c r="B15" s="28" t="s">
        <v>17</v>
      </c>
      <c r="C15" s="29"/>
      <c r="D15" s="29"/>
      <c r="E15" s="29"/>
      <c r="F15" s="30">
        <f>F11-F13-F12</f>
        <v>265000</v>
      </c>
    </row>
    <row r="16" spans="2:8" hidden="1" x14ac:dyDescent="0.25">
      <c r="B16" s="24"/>
      <c r="C16" s="13"/>
      <c r="D16" s="13"/>
      <c r="E16" s="13"/>
      <c r="F16" s="26"/>
    </row>
    <row r="17" spans="2:8" ht="15.75" thickBot="1" x14ac:dyDescent="0.3">
      <c r="B17" s="24" t="s">
        <v>18</v>
      </c>
      <c r="C17" s="13"/>
      <c r="D17" s="13"/>
      <c r="E17" s="10"/>
      <c r="F17" s="27">
        <f>F11*10%</f>
        <v>38500</v>
      </c>
      <c r="H17" s="11"/>
    </row>
    <row r="18" spans="2:8" x14ac:dyDescent="0.25">
      <c r="B18" s="28" t="s">
        <v>19</v>
      </c>
      <c r="C18" s="29"/>
      <c r="D18" s="29"/>
      <c r="E18" s="29"/>
      <c r="F18" s="30">
        <f>F15-F17</f>
        <v>226500</v>
      </c>
    </row>
    <row r="19" spans="2:8" hidden="1" x14ac:dyDescent="0.25">
      <c r="B19" s="28"/>
      <c r="C19" s="29"/>
      <c r="D19" s="29"/>
      <c r="E19" s="29"/>
      <c r="F19" s="30"/>
    </row>
    <row r="20" spans="2:8" ht="15.75" thickBot="1" x14ac:dyDescent="0.3">
      <c r="B20" s="28" t="s">
        <v>20</v>
      </c>
      <c r="C20" s="29"/>
      <c r="D20" s="29"/>
      <c r="E20" s="12"/>
      <c r="F20" s="31">
        <f>F15*10%</f>
        <v>26500</v>
      </c>
      <c r="H20" s="11"/>
    </row>
    <row r="21" spans="2:8" x14ac:dyDescent="0.25">
      <c r="B21" s="28" t="s">
        <v>21</v>
      </c>
      <c r="C21" s="29"/>
      <c r="D21" s="29"/>
      <c r="E21" s="29"/>
      <c r="F21" s="30">
        <f>F18-F20</f>
        <v>200000</v>
      </c>
    </row>
    <row r="22" spans="2:8" x14ac:dyDescent="0.25">
      <c r="B22" s="24"/>
      <c r="C22" s="13"/>
      <c r="D22" s="13"/>
      <c r="E22" s="13"/>
      <c r="F22" s="26"/>
    </row>
    <row r="23" spans="2:8" x14ac:dyDescent="0.25">
      <c r="B23" s="24"/>
      <c r="C23" s="13"/>
      <c r="D23" s="13"/>
      <c r="E23" s="13"/>
      <c r="F23" s="25"/>
    </row>
    <row r="24" spans="2:8" ht="15.75" thickBot="1" x14ac:dyDescent="0.3">
      <c r="B24" s="32" t="s">
        <v>34</v>
      </c>
      <c r="C24" s="10"/>
      <c r="D24" s="13"/>
      <c r="E24" s="10" t="s">
        <v>35</v>
      </c>
      <c r="F24" s="33"/>
    </row>
    <row r="25" spans="2:8" x14ac:dyDescent="0.25">
      <c r="B25" s="24"/>
      <c r="C25" s="13"/>
      <c r="D25" s="13"/>
      <c r="E25" s="13"/>
      <c r="F25" s="25"/>
    </row>
    <row r="26" spans="2:8" ht="15.75" thickBot="1" x14ac:dyDescent="0.3">
      <c r="B26" s="32"/>
      <c r="C26" s="10"/>
      <c r="D26" s="10"/>
      <c r="E26" s="10"/>
      <c r="F26" s="33"/>
    </row>
  </sheetData>
  <mergeCells count="3">
    <mergeCell ref="B1:F1"/>
    <mergeCell ref="B2:F2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EJERCICIO 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DIAZ</dc:creator>
  <cp:lastModifiedBy>Nubia Marcela  Díaz Cortés</cp:lastModifiedBy>
  <dcterms:created xsi:type="dcterms:W3CDTF">2015-06-05T18:19:34Z</dcterms:created>
  <dcterms:modified xsi:type="dcterms:W3CDTF">2025-05-10T19:34:27Z</dcterms:modified>
</cp:coreProperties>
</file>